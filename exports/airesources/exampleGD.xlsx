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33621796607/WOPIServiceId_TP_BOX_2/WOPIUserId_-/"/>
    </mc:Choice>
  </mc:AlternateContent>
  <xr:revisionPtr revIDLastSave="22" documentId="13_ncr:1_{E7FDD0FC-1080-9848-AD70-738C1BE26B07}" xr6:coauthVersionLast="47" xr6:coauthVersionMax="47" xr10:uidLastSave="{C128DE96-26B8-B34B-8126-26FEBDF0A862}"/>
  <bookViews>
    <workbookView xWindow="680" yWindow="640" windowWidth="28040" windowHeight="17180" xr2:uid="{3E17D1A0-80F6-E84E-9619-D40BA55AB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 s="1"/>
  <c r="J7" i="1"/>
  <c r="K7" i="1" s="1"/>
  <c r="H8" i="1" s="1"/>
  <c r="I8" i="1" s="1"/>
  <c r="I7" i="1"/>
  <c r="L7" i="1" s="1"/>
  <c r="J16" i="1" l="1"/>
  <c r="K16" i="1" s="1"/>
  <c r="L16" i="1"/>
  <c r="J8" i="1"/>
  <c r="K8" i="1" s="1"/>
  <c r="H9" i="1" s="1"/>
  <c r="I9" i="1" s="1"/>
  <c r="L8" i="1"/>
  <c r="J9" i="1" l="1"/>
  <c r="K9" i="1" s="1"/>
  <c r="H10" i="1" s="1"/>
  <c r="L9" i="1"/>
  <c r="I10" i="1" l="1"/>
  <c r="J10" i="1" l="1"/>
  <c r="K10" i="1" s="1"/>
  <c r="H11" i="1" s="1"/>
  <c r="L10" i="1"/>
  <c r="I11" i="1" l="1"/>
  <c r="J11" i="1" l="1"/>
  <c r="K11" i="1" s="1"/>
  <c r="H12" i="1" s="1"/>
  <c r="L11" i="1"/>
  <c r="I12" i="1" l="1"/>
  <c r="J12" i="1" l="1"/>
  <c r="K12" i="1" s="1"/>
  <c r="H13" i="1" s="1"/>
  <c r="L12" i="1"/>
  <c r="I13" i="1" l="1"/>
  <c r="J13" i="1" l="1"/>
  <c r="K13" i="1" s="1"/>
  <c r="H14" i="1" s="1"/>
  <c r="L13" i="1"/>
  <c r="I14" i="1" l="1"/>
  <c r="J14" i="1" l="1"/>
  <c r="K14" i="1" s="1"/>
  <c r="H15" i="1" s="1"/>
  <c r="I15" i="1" s="1"/>
  <c r="L14" i="1"/>
  <c r="L15" i="1" l="1"/>
  <c r="J15" i="1"/>
  <c r="K15" i="1" s="1"/>
</calcChain>
</file>

<file path=xl/sharedStrings.xml><?xml version="1.0" encoding="utf-8"?>
<sst xmlns="http://schemas.openxmlformats.org/spreadsheetml/2006/main" count="10" uniqueCount="10">
  <si>
    <t>input, x</t>
  </si>
  <si>
    <t>output, ya</t>
  </si>
  <si>
    <t>yp</t>
  </si>
  <si>
    <t>l</t>
  </si>
  <si>
    <t>step</t>
  </si>
  <si>
    <t>loss</t>
  </si>
  <si>
    <t>learning rate</t>
  </si>
  <si>
    <t>model: y = w*x</t>
  </si>
  <si>
    <t>dloss/dw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</si>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</sst>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DE1F-AEBB-5349-854A-651A8B978F79}">
  <dimension ref="C2:L16"/>
  <sheetViews>
    <sheetView tabSelected="1" topLeftCell="C1" zoomScale="141" zoomScaleNormal="227" workbookViewId="0">
      <selection activeCell="J21" sqref="J21"/>
    </sheetView>
  </sheetViews>
  <sheetFormatPr baseColWidth="10" defaultRowHeight="16" x14ac:dyDescent="0.2"/>
  <sheetData>
    <row r="2" spans="3:12" x14ac:dyDescent="0.2">
      <c r="H2" t="s">
        <v>6</v>
      </c>
      <c r="K2" t="s">
        <v>7</v>
      </c>
    </row>
    <row r="3" spans="3:12" x14ac:dyDescent="0.2">
      <c r="H3" t="s">
        <v>3</v>
      </c>
      <c r="I3">
        <v>0.03</v>
      </c>
    </row>
    <row r="5" spans="3:12" x14ac:dyDescent="0.2">
      <c r="C5" t="s">
        <v>0</v>
      </c>
      <c r="D5" t="s">
        <v>1</v>
      </c>
    </row>
    <row r="6" spans="3:12" x14ac:dyDescent="0.2">
      <c r="C6">
        <v>3</v>
      </c>
      <c r="D6">
        <v>5</v>
      </c>
      <c r="H6" t="s">
        <v>9</v>
      </c>
      <c r="I6" t="s">
        <v>2</v>
      </c>
      <c r="J6" t="s">
        <v>8</v>
      </c>
      <c r="K6" t="s">
        <v>4</v>
      </c>
      <c r="L6" t="s">
        <v>5</v>
      </c>
    </row>
    <row r="7" spans="3:12" x14ac:dyDescent="0.2">
      <c r="G7">
        <v>0</v>
      </c>
      <c r="H7">
        <v>1</v>
      </c>
      <c r="I7">
        <f>$C$6*H7</f>
        <v>3</v>
      </c>
      <c r="J7">
        <f>2*(I7-$D$6)*$C$6</f>
        <v>-12</v>
      </c>
      <c r="K7">
        <f>J7*$I$3</f>
        <v>-0.36</v>
      </c>
      <c r="L7">
        <f>($D$6-I7)^2</f>
        <v>4</v>
      </c>
    </row>
    <row r="8" spans="3:12" x14ac:dyDescent="0.2">
      <c r="G8">
        <v>1</v>
      </c>
      <c r="H8">
        <f>H7-K7</f>
        <v>1.3599999999999999</v>
      </c>
      <c r="I8">
        <f>$C$6*H8</f>
        <v>4.08</v>
      </c>
      <c r="J8">
        <f>2*(I8-$D$6)*$C$6</f>
        <v>-5.52</v>
      </c>
      <c r="K8">
        <f>J8*$I$3</f>
        <v>-0.16559999999999997</v>
      </c>
      <c r="L8">
        <f>($D$6-I8)^2</f>
        <v>0.84639999999999982</v>
      </c>
    </row>
    <row r="9" spans="3:12" x14ac:dyDescent="0.2">
      <c r="G9">
        <v>2</v>
      </c>
      <c r="H9">
        <f t="shared" ref="H9:H15" si="0">H8-K8</f>
        <v>1.5255999999999998</v>
      </c>
      <c r="I9">
        <f>$C$6*H9</f>
        <v>4.5767999999999995</v>
      </c>
      <c r="J9">
        <f>2*(I9-$D$6)*$C$6</f>
        <v>-2.5392000000000028</v>
      </c>
      <c r="K9">
        <f>J9*$I$3</f>
        <v>-7.6176000000000077E-2</v>
      </c>
      <c r="L9">
        <f>($D$6-I9)^2</f>
        <v>0.17909824000000038</v>
      </c>
    </row>
    <row r="10" spans="3:12" x14ac:dyDescent="0.2">
      <c r="G10">
        <v>3</v>
      </c>
      <c r="H10">
        <f t="shared" si="0"/>
        <v>1.6017759999999999</v>
      </c>
      <c r="I10">
        <f>$C$6*H10</f>
        <v>4.8053279999999994</v>
      </c>
      <c r="J10">
        <f>2*(I10-$D$6)*$C$6</f>
        <v>-1.1680320000000037</v>
      </c>
      <c r="K10">
        <f>J10*$I$3</f>
        <v>-3.5040960000000114E-2</v>
      </c>
      <c r="L10">
        <f>($D$6-I10)^2</f>
        <v>3.7897187584000243E-2</v>
      </c>
    </row>
    <row r="11" spans="3:12" x14ac:dyDescent="0.2">
      <c r="G11">
        <v>4</v>
      </c>
      <c r="H11">
        <f t="shared" si="0"/>
        <v>1.63681696</v>
      </c>
      <c r="I11">
        <f>$C$6*H11</f>
        <v>4.91045088</v>
      </c>
      <c r="J11">
        <f>2*(I11-$D$6)*$C$6</f>
        <v>-0.53729472000000023</v>
      </c>
      <c r="K11">
        <f>J11*$I$3</f>
        <v>-1.6118841600000006E-2</v>
      </c>
      <c r="L11">
        <f>($D$6-I11)^2</f>
        <v>8.019044892774406E-3</v>
      </c>
    </row>
    <row r="12" spans="3:12" x14ac:dyDescent="0.2">
      <c r="G12">
        <v>5</v>
      </c>
      <c r="H12">
        <f t="shared" si="0"/>
        <v>1.6529358016</v>
      </c>
      <c r="I12">
        <f>$C$6*H12</f>
        <v>4.9588074047999999</v>
      </c>
      <c r="J12">
        <f>2*(I12-$D$6)*$C$6</f>
        <v>-0.24715557120000042</v>
      </c>
      <c r="K12">
        <f>J12*$I$3</f>
        <v>-7.4146671360000123E-3</v>
      </c>
      <c r="L12">
        <f>($D$6-I12)^2</f>
        <v>1.6968298993110689E-3</v>
      </c>
    </row>
    <row r="13" spans="3:12" x14ac:dyDescent="0.2">
      <c r="G13">
        <v>6</v>
      </c>
      <c r="H13">
        <f t="shared" si="0"/>
        <v>1.660350468736</v>
      </c>
      <c r="I13">
        <f>$C$6*H13</f>
        <v>4.9810514062079996</v>
      </c>
      <c r="J13">
        <f>2*(I13-$D$6)*$C$6</f>
        <v>-0.11369156275200254</v>
      </c>
      <c r="K13">
        <f>J13*$I$3</f>
        <v>-3.4107468825600759E-3</v>
      </c>
      <c r="L13">
        <f>($D$6-I13)^2</f>
        <v>3.5904920669423699E-4</v>
      </c>
    </row>
    <row r="14" spans="3:12" x14ac:dyDescent="0.2">
      <c r="G14">
        <v>7</v>
      </c>
      <c r="H14">
        <f t="shared" si="0"/>
        <v>1.6637612156185602</v>
      </c>
      <c r="I14">
        <f>$C$6*H14</f>
        <v>4.9912836468556803</v>
      </c>
      <c r="J14">
        <f>2*(I14-$D$6)*$C$6</f>
        <v>-5.2298118865918397E-2</v>
      </c>
      <c r="K14">
        <f>J14*$I$3</f>
        <v>-1.5689435659775519E-3</v>
      </c>
      <c r="L14">
        <f>($D$6-I14)^2</f>
        <v>7.5974812136492498E-5</v>
      </c>
    </row>
    <row r="15" spans="3:12" x14ac:dyDescent="0.2">
      <c r="G15">
        <v>8</v>
      </c>
      <c r="H15">
        <f t="shared" si="0"/>
        <v>1.6653301591845378</v>
      </c>
      <c r="I15">
        <f>$C$6*H15</f>
        <v>4.9959904775536135</v>
      </c>
      <c r="J15">
        <f>2*(I15-$D$6)*$C$6</f>
        <v>-2.4057134678319159E-2</v>
      </c>
      <c r="K15">
        <f>J15*$I$3</f>
        <v>-7.2171404034957474E-4</v>
      </c>
      <c r="L15">
        <f>($D$6-I15)^2</f>
        <v>1.6076270248077395E-5</v>
      </c>
    </row>
    <row r="16" spans="3:12" x14ac:dyDescent="0.2">
      <c r="H16">
        <f>5/3</f>
        <v>1.6666666666666667</v>
      </c>
      <c r="I16">
        <f>$C$6*H16</f>
        <v>5</v>
      </c>
      <c r="J16">
        <f>2*(I16-$D$6)*$C$6</f>
        <v>0</v>
      </c>
      <c r="K16">
        <f>J16*$I$3</f>
        <v>0</v>
      </c>
      <c r="L16">
        <f>($D$6-I16)^2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2026-02-13T07:49:00Z</dcterms:created>
  <dcterms:modified xsi:type="dcterms:W3CDTF">2026-02-13T20:54:39Z</dcterms:modified>
</cp:coreProperties>
</file>